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T1 raw readings" sheetId="2" state="visible" r:id="rId4"/>
    <sheet name="T1 summary" sheetId="3" state="visible" r:id="rId5"/>
    <sheet name="T2 sucrose" sheetId="4" state="visible" r:id="rId6"/>
    <sheet name="T3 bill of materials" sheetId="5" state="visible" r:id="rId7"/>
    <sheet name="Conditions" sheetId="6" state="visible" r:id="rId8"/>
    <sheet name="Precision ru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<sst xmlns="http://schemas.openxmlformats.org/spreadsheetml/2006/main" count="197" uniqueCount="159">
  <si>
    <t xml:space="preserve">SMP 26ACS01 — Refractometer data collection</t>
  </si>
  <si>
    <t xml:space="preserve">Fill only the YELLOW cells. Everything blue-grey is a formula — do not type over it.</t>
  </si>
  <si>
    <t xml:space="preserve">WHAT TO RECORD PER TRIAL</t>
  </si>
  <si>
    <t xml:space="preserve">The firmware prints one line per measurement over the serial link at 9600 baud:</t>
  </si>
  <si>
    <t xml:space="preserve">    steps=…  angle=…  incident=…  case=…  dark=…  bright=…  n=…</t>
  </si>
  <si>
    <t xml:space="preserve">Copy 'angle', 'incident', 'case' and 'n' into the sheet. Five trials per liquid.</t>
  </si>
  <si>
    <t xml:space="preserve">Empty, rinse and refill the cell between trials — otherwise you measure the same drop five times</t>
  </si>
  <si>
    <t xml:space="preserve">and the standard error will be far smaller than the true repeatability.</t>
  </si>
  <si>
    <t xml:space="preserve">Also copy the 'profile:' line for at least one trial per liquid. That array is Figure 4.</t>
  </si>
  <si>
    <t xml:space="preserve">SHEETS</t>
  </si>
  <si>
    <t xml:space="preserve">  T1 raw readings     5 trials × 5 liquids. Computes mean, SD, standard error and % deviation.</t>
  </si>
  <si>
    <t xml:space="preserve">  T1 summary          Table 1 exactly as it appears in the paper — copy this across.</t>
  </si>
  <si>
    <t xml:space="preserve">  T2 sucrose          Concentration standards, 5 trials each, plus the hold-out test.</t>
  </si>
  <si>
    <t xml:space="preserve">  T3 bill of materials Component costs from receipts.</t>
  </si>
  <si>
    <t xml:space="preserve">  Conditions          Dimensions, mass, temperature, prism index.</t>
  </si>
  <si>
    <t xml:space="preserve">  Precision rules     How many decimal places each quantity may honestly carry.</t>
  </si>
  <si>
    <t xml:space="preserve">THE ONE THING THAT MATTERS MOST</t>
  </si>
  <si>
    <t xml:space="preserve">Five trials gives a standard error, but with n=5 that SE is itself uncertain by roughly ±35%.</t>
  </si>
  <si>
    <t xml:space="preserve">Quote it to one significant figure and round the mean to match. Do not write 62.4531 ± 0.0087.</t>
  </si>
  <si>
    <t xml:space="preserve">Table 1 — raw readings, five trials per liquid</t>
  </si>
  <si>
    <t xml:space="preserve">Yellow = type the value the firmware printed.  Blue-grey = computed.</t>
  </si>
  <si>
    <t xml:space="preserve">Liquid / trial</t>
  </si>
  <si>
    <t xml:space="preserve">Stage angle φ /°</t>
  </si>
  <si>
    <t xml:space="preserve">Incident α /°</t>
  </si>
  <si>
    <t xml:space="preserve">Case (1 or 2)</t>
  </si>
  <si>
    <t xml:space="preserve">n reported by device</t>
  </si>
  <si>
    <t xml:space="preserve">θc computed /°</t>
  </si>
  <si>
    <t xml:space="preserve">n check (1.50 sin θc)</t>
  </si>
  <si>
    <t xml:space="preserve">Deionised water</t>
  </si>
  <si>
    <t xml:space="preserve">    trial 1</t>
  </si>
  <si>
    <t xml:space="preserve">    trial 2</t>
  </si>
  <si>
    <t xml:space="preserve">    trial 3</t>
  </si>
  <si>
    <t xml:space="preserve">    trial 4</t>
  </si>
  <si>
    <t xml:space="preserve">    trial 5</t>
  </si>
  <si>
    <t xml:space="preserve">    mean ± SE</t>
  </si>
  <si>
    <t xml:space="preserve">    SD  /  SE</t>
  </si>
  <si>
    <t xml:space="preserve">Glucose solution (10%)</t>
  </si>
  <si>
    <t xml:space="preserve">Sodium chloride solution (10%)</t>
  </si>
  <si>
    <t xml:space="preserve">Glycerol solution (20% w/w)</t>
  </si>
  <si>
    <t xml:space="preserve">Olive oil</t>
  </si>
  <si>
    <t xml:space="preserve">SD = spread of the five trials (repeatability).  SE = SD / √5 (uncertainty in the mean).</t>
  </si>
  <si>
    <t xml:space="preserve">Table 1 — as it should appear in the paper</t>
  </si>
  <si>
    <t xml:space="preserve">All formulas. Nothing to type here.</t>
  </si>
  <si>
    <t xml:space="preserve">Test liquid</t>
  </si>
  <si>
    <t xml:space="preserve">Mean critical angle θc /°</t>
  </si>
  <si>
    <t xml:space="preserve">Refractive index measured</t>
  </si>
  <si>
    <t xml:space="preserve">Accepted refractive index</t>
  </si>
  <si>
    <t xml:space="preserve">Deviation /%</t>
  </si>
  <si>
    <t xml:space="preserve">Mean deviation</t>
  </si>
  <si>
    <t xml:space="preserve">Table 2 — concentration mode</t>
  </si>
  <si>
    <t xml:space="preserve">Five trials per standard. The last standard is the hold-out: measure it but do NOT use it in the fit.</t>
  </si>
  <si>
    <t xml:space="preserve">Standard</t>
  </si>
  <si>
    <t xml:space="preserve">Concentration /% w/w</t>
  </si>
  <si>
    <t xml:space="preserve">n trial 1</t>
  </si>
  <si>
    <t xml:space="preserve">n trial 2</t>
  </si>
  <si>
    <t xml:space="preserve">n trial 3</t>
  </si>
  <si>
    <t xml:space="preserve">n trial 4</t>
  </si>
  <si>
    <t xml:space="preserve">n trial 5</t>
  </si>
  <si>
    <t xml:space="preserve">Mean n</t>
  </si>
  <si>
    <t xml:space="preserve">SE</t>
  </si>
  <si>
    <t xml:space="preserve">Use in fit?</t>
  </si>
  <si>
    <t xml:space="preserve">Standard 1</t>
  </si>
  <si>
    <t xml:space="preserve">yes</t>
  </si>
  <si>
    <t xml:space="preserve">Standard 2</t>
  </si>
  <si>
    <t xml:space="preserve">Standard 3</t>
  </si>
  <si>
    <t xml:space="preserve">Standard 4</t>
  </si>
  <si>
    <t xml:space="preserve">Hold-out sample</t>
  </si>
  <si>
    <t xml:space="preserve">no</t>
  </si>
  <si>
    <t xml:space="preserve">Linear fit  n = n₀ + k·c   (standards 1–4 only)</t>
  </si>
  <si>
    <t xml:space="preserve">gradient k</t>
  </si>
  <si>
    <t xml:space="preserve">intercept n₀</t>
  </si>
  <si>
    <t xml:space="preserve">R²</t>
  </si>
  <si>
    <t xml:space="preserve">Hold-out test — the only independent check in the paper</t>
  </si>
  <si>
    <t xml:space="preserve">true concentration /% w/w</t>
  </si>
  <si>
    <t xml:space="preserve">concentration returned from fit</t>
  </si>
  <si>
    <t xml:space="preserve">error /% w/w</t>
  </si>
  <si>
    <t xml:space="preserve">Table 3 — bill of materials</t>
  </si>
  <si>
    <t xml:space="preserve">From receipts only. If you cannot evidence a number, leave it blank rather than estimating.</t>
  </si>
  <si>
    <t xml:space="preserve">Component</t>
  </si>
  <si>
    <t xml:space="preserve">Quantity</t>
  </si>
  <si>
    <t xml:space="preserve">Unit cost /S$</t>
  </si>
  <si>
    <t xml:space="preserve">Subtotal /S$</t>
  </si>
  <si>
    <t xml:space="preserve">Source / receipt</t>
  </si>
  <si>
    <t xml:space="preserve">589 nm sodium laser</t>
  </si>
  <si>
    <t xml:space="preserve">Right-angled isosceles prism</t>
  </si>
  <si>
    <t xml:space="preserve">Stepper motor and ULN2003 driver</t>
  </si>
  <si>
    <t xml:space="preserve">Slip ring</t>
  </si>
  <si>
    <t xml:space="preserve">Arduino microcontroller</t>
  </si>
  <si>
    <t xml:space="preserve">LDR, resistors and connecting wire</t>
  </si>
  <si>
    <t xml:space="preserve">16×2 LCD display</t>
  </si>
  <si>
    <t xml:space="preserve">Numeric keypad</t>
  </si>
  <si>
    <t xml:space="preserve">Rocker switch</t>
  </si>
  <si>
    <t xml:space="preserve">PLA filament (housing, stage, cell)</t>
  </si>
  <si>
    <t xml:space="preserve">Total as built</t>
  </si>
  <si>
    <t xml:space="preserve">Commodity laser diode (replacement cost)</t>
  </si>
  <si>
    <t xml:space="preserve">Total with commodity diode</t>
  </si>
  <si>
    <t xml:space="preserve">Instrument and session details</t>
  </si>
  <si>
    <t xml:space="preserve">Value</t>
  </si>
  <si>
    <t xml:space="preserve">Note</t>
  </si>
  <si>
    <t xml:space="preserve">Number of trials per liquid</t>
  </si>
  <si>
    <t xml:space="preserve">Fixed at 5 by your teacher's instruction</t>
  </si>
  <si>
    <t xml:space="preserve">Room temperature /°C</t>
  </si>
  <si>
    <t xml:space="preserve">Record with a thermometer; refractive index is temperature dependent</t>
  </si>
  <si>
    <t xml:space="preserve">Device length /mm</t>
  </si>
  <si>
    <t xml:space="preserve">Measure the finished direct-drive build, not the CAD model</t>
  </si>
  <si>
    <t xml:space="preserve">Device width /mm</t>
  </si>
  <si>
    <t xml:space="preserve">Device height /mm</t>
  </si>
  <si>
    <t xml:space="preserve">Device mass /g</t>
  </si>
  <si>
    <t xml:space="preserve">Kitchen scale is fine</t>
  </si>
  <si>
    <t xml:space="preserve">Prism refractive index n_P</t>
  </si>
  <si>
    <t xml:space="preserve">Used by every formula in this workbook. Change here if you measure it.</t>
  </si>
  <si>
    <t xml:space="preserve">Steps per output revolution</t>
  </si>
  <si>
    <t xml:space="preserve">28BYJ-48: 32 × 2 × 63.68395 = 4075.77</t>
  </si>
  <si>
    <t xml:space="preserve">Degrees per step</t>
  </si>
  <si>
    <t xml:space="preserve">computed</t>
  </si>
  <si>
    <t xml:space="preserve">How many decimal places each quantity may honestly carry</t>
  </si>
  <si>
    <t xml:space="preserve">Report as</t>
  </si>
  <si>
    <t xml:space="preserve">Why</t>
  </si>
  <si>
    <t xml:space="preserve">Stage angle φ, incident α</t>
  </si>
  <si>
    <t xml:space="preserve">0.0001°</t>
  </si>
  <si>
    <t xml:space="preserve">As printed by the firmware. Raw record only — do not quote in the paper.</t>
  </si>
  <si>
    <t xml:space="preserve">Critical angle θc (mean)</t>
  </si>
  <si>
    <t xml:space="preserve">match the SE</t>
  </si>
  <si>
    <t xml:space="preserve">Round the mean to the same decimal place as its standard error.</t>
  </si>
  <si>
    <t xml:space="preserve">Standard error on θc</t>
  </si>
  <si>
    <t xml:space="preserve">1 significant figure</t>
  </si>
  <si>
    <t xml:space="preserve">With n = 5 the SE is itself uncertain by about ±35%; more digits are noise.</t>
  </si>
  <si>
    <t xml:space="preserve">Refractive index, single trial</t>
  </si>
  <si>
    <t xml:space="preserve">0.00001</t>
  </si>
  <si>
    <t xml:space="preserve">What the device prints. Appendix A only.</t>
  </si>
  <si>
    <t xml:space="preserve">Refractive index, mean</t>
  </si>
  <si>
    <t xml:space="preserve">0.0001</t>
  </si>
  <si>
    <t xml:space="preserve">One motor step ≈ 0.0007 in n, and the edge fit resolves below one step.</t>
  </si>
  <si>
    <t xml:space="preserve">Refractive index — ACCURACY</t>
  </si>
  <si>
    <t xml:space="preserve">0.01</t>
  </si>
  <si>
    <t xml:space="preserve">Limited by n_P = 1.50 (3 s.f.). A 0.67% error there is ±0.009 in n.</t>
  </si>
  <si>
    <t xml:space="preserve">Deviation from accepted value</t>
  </si>
  <si>
    <t xml:space="preserve">0.01 %</t>
  </si>
  <si>
    <t xml:space="preserve">Supported only if the mean n is quoted to 4 d.p.</t>
  </si>
  <si>
    <t xml:space="preserve">Accepted reference values</t>
  </si>
  <si>
    <t xml:space="preserve">as published</t>
  </si>
  <si>
    <t xml:space="preserve">Cite the source; do not add digits the reference does not have.</t>
  </si>
  <si>
    <t xml:space="preserve">Concentration</t>
  </si>
  <si>
    <t xml:space="preserve">0.1 % w/w</t>
  </si>
  <si>
    <t xml:space="preserve">Set by how accurately you can weigh and make up the standards.</t>
  </si>
  <si>
    <t xml:space="preserve">Cost</t>
  </si>
  <si>
    <t xml:space="preserve">0.01 S$</t>
  </si>
  <si>
    <t xml:space="preserve">From receipts.</t>
  </si>
  <si>
    <t xml:space="preserve">Dimensions</t>
  </si>
  <si>
    <t xml:space="preserve">1 mm (ruler) or 0.1 mm (calipers)</t>
  </si>
  <si>
    <t xml:space="preserve">Match the instrument you actually used.</t>
  </si>
  <si>
    <t xml:space="preserve">Temperature</t>
  </si>
  <si>
    <t xml:space="preserve">0.1 °C</t>
  </si>
  <si>
    <t xml:space="preserve">If your thermometer reads to 0.1. Otherwise 1 °C.</t>
  </si>
  <si>
    <t xml:space="preserve">THE DISTINCTION YOUR TEACHER IS PROBABLY TESTING</t>
  </si>
  <si>
    <t xml:space="preserve">Precision (repeatability) is what the five trials show — the spread of your own readings.</t>
  </si>
  <si>
    <t xml:space="preserve">Accuracy is how close you are to the true value, and it is capped by the assumed prism index.</t>
  </si>
  <si>
    <t xml:space="preserve">You can legitimately quote a very repeatable mean to 4 d.p. while admitting the accuracy is only ±0.01.</t>
  </si>
  <si>
    <t xml:space="preserve">Those are different claims and the paper must not blur them.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</si>
</sst>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0"/>
    <numFmt numFmtId="167" formatCode="0.00000"/>
    <numFmt numFmtId="168" formatCode="0.00"/>
    <numFmt numFmtId="169" formatCode="0.0"/>
    <numFmt numFmtId="170" formatCode="0.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0243A"/>
        <bgColor rgb="FF333333"/>
      </patternFill>
    </fill>
    <fill>
      <patternFill patternType="solid">
        <fgColor rgb="FFFFF2CC"/>
        <bgColor rgb="FFEAF0F5"/>
      </patternFill>
    </fill>
    <fill>
      <patternFill patternType="solid">
        <fgColor rgb="FFEAF0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8C0"/>
      </left>
      <right style="thin">
        <color rgb="FFB0B8C0"/>
      </right>
      <top style="thin">
        <color rgb="FFB0B8C0"/>
      </top>
      <bottom style="thin">
        <color rgb="FFB0B8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C0"/>
      <rgbColor rgb="FF808080"/>
      <rgbColor rgb="FF9999FF"/>
      <rgbColor rgb="FF993366"/>
      <rgbColor rgb="FFFFF2CC"/>
      <rgbColor rgb="FFEAF0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024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5" t="s">
        <v>2</v>
      </c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6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5" t="s">
        <v>9</v>
      </c>
    </row>
    <row r="15" customFormat="false" ht="15" hidden="false" customHeight="true" outlineLevel="0" collapsed="false">
      <c r="A15" s="3" t="s">
        <v>10</v>
      </c>
    </row>
    <row r="16" customFormat="false" ht="15" hidden="false" customHeight="true" outlineLevel="0" collapsed="false">
      <c r="A16" s="3" t="s">
        <v>11</v>
      </c>
    </row>
    <row r="17" customFormat="false" ht="15" hidden="false" customHeight="true" outlineLevel="0" collapsed="false">
      <c r="A17" s="3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/>
    </row>
    <row r="22" customFormat="false" ht="15" hidden="false" customHeight="true" outlineLevel="0" collapsed="false">
      <c r="A22" s="5" t="s">
        <v>16</v>
      </c>
    </row>
    <row r="23" customFormat="false" ht="15" hidden="false" customHeight="true" outlineLevel="0" collapsed="false">
      <c r="A23" s="3" t="s">
        <v>17</v>
      </c>
    </row>
    <row r="24" customFormat="false" ht="15" hidden="false" customHeight="true" outlineLevel="0" collapsed="false">
      <c r="A24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4"/>
    <col collapsed="false" customWidth="true" hidden="false" outlineLevel="0" max="4" min="4" style="1" width="11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17.25" hidden="false" customHeight="true" outlineLevel="0" collapsed="false">
      <c r="A1" s="7" t="s">
        <v>19</v>
      </c>
    </row>
    <row r="2" customFormat="false" ht="15" hidden="false" customHeight="true" outlineLevel="0" collapsed="false">
      <c r="A2" s="8" t="s">
        <v>20</v>
      </c>
    </row>
    <row r="4" customFormat="false" ht="30" hidden="false" customHeight="true" outlineLevel="0" collapsed="false">
      <c r="A4" s="9" t="s">
        <v>21</v>
      </c>
      <c r="B4" s="9" t="s">
        <v>22</v>
      </c>
      <c r="C4" s="9" t="s">
        <v>23</v>
      </c>
      <c r="D4" s="9" t="s">
        <v>24</v>
      </c>
      <c r="E4" s="9" t="s">
        <v>25</v>
      </c>
      <c r="F4" s="9" t="s">
        <v>26</v>
      </c>
      <c r="G4" s="9" t="s">
        <v>27</v>
      </c>
    </row>
    <row r="5" customFormat="false" ht="15" hidden="false" customHeight="true" outlineLevel="0" collapsed="false">
      <c r="A5" s="10" t="s">
        <v>28</v>
      </c>
      <c r="B5" s="11"/>
      <c r="C5" s="11"/>
      <c r="D5" s="11"/>
      <c r="E5" s="11"/>
      <c r="F5" s="11"/>
      <c r="G5" s="11"/>
    </row>
    <row r="6" customFormat="false" ht="15" hidden="false" customHeight="true" outlineLevel="0" collapsed="false">
      <c r="A6" s="12" t="s">
        <v>29</v>
      </c>
      <c r="B6" s="13"/>
      <c r="C6" s="13"/>
      <c r="D6" s="14"/>
      <c r="E6" s="15"/>
      <c r="F6" s="16" t="str">
        <f aca="false">IF(C6="","",IF(D6=1,45-DEGREES(ASIN(SIN(RADIANS(C6))/Conditions!$B$10)),45+DEGREES(ASIN(SIN(RADIANS(C6))/Conditions!$B$10))))</f>
        <v/>
      </c>
      <c r="G6" s="17" t="str">
        <f aca="false">IF(F6="","",Conditions!$B$10*SIN(RADIANS(F6)))</f>
        <v/>
      </c>
    </row>
    <row r="7" customFormat="false" ht="15" hidden="false" customHeight="true" outlineLevel="0" collapsed="false">
      <c r="A7" s="12" t="s">
        <v>30</v>
      </c>
      <c r="B7" s="13"/>
      <c r="C7" s="13"/>
      <c r="D7" s="14"/>
      <c r="E7" s="15"/>
      <c r="F7" s="16" t="str">
        <f aca="false">IF(C7="","",IF(D7=1,45-DEGREES(ASIN(SIN(RADIANS(C7))/Conditions!$B$10)),45+DEGREES(ASIN(SIN(RADIANS(C7))/Conditions!$B$10))))</f>
        <v/>
      </c>
      <c r="G7" s="17" t="str">
        <f aca="false">IF(F7="","",Conditions!$B$10*SIN(RADIANS(F7)))</f>
        <v/>
      </c>
    </row>
    <row r="8" customFormat="false" ht="15" hidden="false" customHeight="true" outlineLevel="0" collapsed="false">
      <c r="A8" s="12" t="s">
        <v>31</v>
      </c>
      <c r="B8" s="13"/>
      <c r="C8" s="13"/>
      <c r="D8" s="14"/>
      <c r="E8" s="15"/>
      <c r="F8" s="16" t="str">
        <f aca="false">IF(C8="","",IF(D8=1,45-DEGREES(ASIN(SIN(RADIANS(C8))/Conditions!$B$10)),45+DEGREES(ASIN(SIN(RADIANS(C8))/Conditions!$B$10))))</f>
        <v/>
      </c>
      <c r="G8" s="17" t="str">
        <f aca="false">IF(F8="","",Conditions!$B$10*SIN(RADIANS(F8)))</f>
        <v/>
      </c>
    </row>
    <row r="9" customFormat="false" ht="15" hidden="false" customHeight="true" outlineLevel="0" collapsed="false">
      <c r="A9" s="12" t="s">
        <v>32</v>
      </c>
      <c r="B9" s="13"/>
      <c r="C9" s="13"/>
      <c r="D9" s="14"/>
      <c r="E9" s="15"/>
      <c r="F9" s="16" t="str">
        <f aca="false">IF(C9="","",IF(D9=1,45-DEGREES(ASIN(SIN(RADIANS(C9))/Conditions!$B$10)),45+DEGREES(ASIN(SIN(RADIANS(C9))/Conditions!$B$10))))</f>
        <v/>
      </c>
      <c r="G9" s="17" t="str">
        <f aca="false">IF(F9="","",Conditions!$B$10*SIN(RADIANS(F9)))</f>
        <v/>
      </c>
    </row>
    <row r="10" customFormat="false" ht="15" hidden="false" customHeight="true" outlineLevel="0" collapsed="false">
      <c r="A10" s="12" t="s">
        <v>33</v>
      </c>
      <c r="B10" s="13"/>
      <c r="C10" s="13"/>
      <c r="D10" s="14"/>
      <c r="E10" s="15"/>
      <c r="F10" s="16" t="str">
        <f aca="false">IF(C10="","",IF(D10=1,45-DEGREES(ASIN(SIN(RADIANS(C10))/Conditions!$B$10)),45+DEGREES(ASIN(SIN(RADIANS(C10))/Conditions!$B$10))))</f>
        <v/>
      </c>
      <c r="G10" s="17" t="str">
        <f aca="false">IF(F10="","",Conditions!$B$10*SIN(RADIANS(F10)))</f>
        <v/>
      </c>
    </row>
    <row r="11" customFormat="false" ht="15" hidden="false" customHeight="true" outlineLevel="0" collapsed="false">
      <c r="A11" s="10" t="s">
        <v>34</v>
      </c>
      <c r="C11" s="18" t="str">
        <f aca="false">IFERROR(AVERAGE(C6:C10),"")</f>
        <v/>
      </c>
      <c r="E11" s="19" t="str">
        <f aca="false">IFERROR(AVERAGE(E6:E10),"")</f>
        <v/>
      </c>
      <c r="F11" s="18" t="str">
        <f aca="false">IFERROR(AVERAGE(F6:F10),"")</f>
        <v/>
      </c>
      <c r="G11" s="19" t="str">
        <f aca="false">IFERROR(AVERAGE(G6:G10),"")</f>
        <v/>
      </c>
    </row>
    <row r="12" customFormat="false" ht="15" hidden="false" customHeight="true" outlineLevel="0" collapsed="false">
      <c r="A12" s="12" t="s">
        <v>35</v>
      </c>
      <c r="F12" s="20" t="str">
        <f aca="false">IFERROR(STDEV(F6:F10),"")</f>
        <v/>
      </c>
      <c r="G12" s="21" t="str">
        <f aca="false">IFERROR(STDEV(G6:G10)/SQRT(COUNT(G6:G10)),"")</f>
        <v/>
      </c>
    </row>
    <row r="14" customFormat="false" ht="15" hidden="false" customHeight="true" outlineLevel="0" collapsed="false">
      <c r="A14" s="10" t="s">
        <v>36</v>
      </c>
      <c r="B14" s="11"/>
      <c r="C14" s="11"/>
      <c r="D14" s="11"/>
      <c r="E14" s="11"/>
      <c r="F14" s="11"/>
      <c r="G14" s="11"/>
    </row>
    <row r="15" customFormat="false" ht="15" hidden="false" customHeight="true" outlineLevel="0" collapsed="false">
      <c r="A15" s="12" t="s">
        <v>29</v>
      </c>
      <c r="B15" s="13"/>
      <c r="C15" s="13"/>
      <c r="D15" s="14"/>
      <c r="E15" s="15"/>
      <c r="F15" s="16" t="str">
        <f aca="false">IF(C15="","",IF(D15=1,45-DEGREES(ASIN(SIN(RADIANS(C15))/Conditions!$B$10)),45+DEGREES(ASIN(SIN(RADIANS(C15))/Conditions!$B$10))))</f>
        <v/>
      </c>
      <c r="G15" s="17" t="str">
        <f aca="false">IF(F15="","",Conditions!$B$10*SIN(RADIANS(F15)))</f>
        <v/>
      </c>
    </row>
    <row r="16" customFormat="false" ht="15" hidden="false" customHeight="true" outlineLevel="0" collapsed="false">
      <c r="A16" s="12" t="s">
        <v>30</v>
      </c>
      <c r="B16" s="13"/>
      <c r="C16" s="13"/>
      <c r="D16" s="14"/>
      <c r="E16" s="15"/>
      <c r="F16" s="16" t="str">
        <f aca="false">IF(C16="","",IF(D16=1,45-DEGREES(ASIN(SIN(RADIANS(C16))/Conditions!$B$10)),45+DEGREES(ASIN(SIN(RADIANS(C16))/Conditions!$B$10))))</f>
        <v/>
      </c>
      <c r="G16" s="17" t="str">
        <f aca="false">IF(F16="","",Conditions!$B$10*SIN(RADIANS(F16)))</f>
        <v/>
      </c>
    </row>
    <row r="17" customFormat="false" ht="15" hidden="false" customHeight="true" outlineLevel="0" collapsed="false">
      <c r="A17" s="12" t="s">
        <v>31</v>
      </c>
      <c r="B17" s="13"/>
      <c r="C17" s="13"/>
      <c r="D17" s="14"/>
      <c r="E17" s="15"/>
      <c r="F17" s="16" t="str">
        <f aca="false">IF(C17="","",IF(D17=1,45-DEGREES(ASIN(SIN(RADIANS(C17))/Conditions!$B$10)),45+DEGREES(ASIN(SIN(RADIANS(C17))/Conditions!$B$10))))</f>
        <v/>
      </c>
      <c r="G17" s="17" t="str">
        <f aca="false">IF(F17="","",Conditions!$B$10*SIN(RADIANS(F17)))</f>
        <v/>
      </c>
    </row>
    <row r="18" customFormat="false" ht="15" hidden="false" customHeight="true" outlineLevel="0" collapsed="false">
      <c r="A18" s="12" t="s">
        <v>32</v>
      </c>
      <c r="B18" s="13"/>
      <c r="C18" s="13"/>
      <c r="D18" s="14"/>
      <c r="E18" s="15"/>
      <c r="F18" s="16" t="str">
        <f aca="false">IF(C18="","",IF(D18=1,45-DEGREES(ASIN(SIN(RADIANS(C18))/Conditions!$B$10)),45+DEGREES(ASIN(SIN(RADIANS(C18))/Conditions!$B$10))))</f>
        <v/>
      </c>
      <c r="G18" s="17" t="str">
        <f aca="false">IF(F18="","",Conditions!$B$10*SIN(RADIANS(F18)))</f>
        <v/>
      </c>
    </row>
    <row r="19" customFormat="false" ht="15" hidden="false" customHeight="true" outlineLevel="0" collapsed="false">
      <c r="A19" s="12" t="s">
        <v>33</v>
      </c>
      <c r="B19" s="13"/>
      <c r="C19" s="13"/>
      <c r="D19" s="14"/>
      <c r="E19" s="15"/>
      <c r="F19" s="16" t="str">
        <f aca="false">IF(C19="","",IF(D19=1,45-DEGREES(ASIN(SIN(RADIANS(C19))/Conditions!$B$10)),45+DEGREES(ASIN(SIN(RADIANS(C19))/Conditions!$B$10))))</f>
        <v/>
      </c>
      <c r="G19" s="17" t="str">
        <f aca="false">IF(F19="","",Conditions!$B$10*SIN(RADIANS(F19)))</f>
        <v/>
      </c>
    </row>
    <row r="20" customFormat="false" ht="15" hidden="false" customHeight="true" outlineLevel="0" collapsed="false">
      <c r="A20" s="10" t="s">
        <v>34</v>
      </c>
      <c r="C20" s="18" t="str">
        <f aca="false">IFERROR(AVERAGE(C15:C19),"")</f>
        <v/>
      </c>
      <c r="E20" s="19" t="str">
        <f aca="false">IFERROR(AVERAGE(E15:E19),"")</f>
        <v/>
      </c>
      <c r="F20" s="18" t="str">
        <f aca="false">IFERROR(AVERAGE(F15:F19),"")</f>
        <v/>
      </c>
      <c r="G20" s="19" t="str">
        <f aca="false">IFERROR(AVERAGE(G15:G19),"")</f>
        <v/>
      </c>
    </row>
    <row r="21" customFormat="false" ht="15" hidden="false" customHeight="true" outlineLevel="0" collapsed="false">
      <c r="A21" s="12" t="s">
        <v>35</v>
      </c>
      <c r="F21" s="20" t="str">
        <f aca="false">IFERROR(STDEV(F15:F19),"")</f>
        <v/>
      </c>
      <c r="G21" s="21" t="str">
        <f aca="false">IFERROR(STDEV(G15:G19)/SQRT(COUNT(G15:G19)),"")</f>
        <v/>
      </c>
    </row>
    <row r="23" customFormat="false" ht="15" hidden="false" customHeight="true" outlineLevel="0" collapsed="false">
      <c r="A23" s="10" t="s">
        <v>37</v>
      </c>
      <c r="B23" s="11"/>
      <c r="C23" s="11"/>
      <c r="D23" s="11"/>
      <c r="E23" s="11"/>
      <c r="F23" s="11"/>
      <c r="G23" s="11"/>
    </row>
    <row r="24" customFormat="false" ht="15" hidden="false" customHeight="true" outlineLevel="0" collapsed="false">
      <c r="A24" s="12" t="s">
        <v>29</v>
      </c>
      <c r="B24" s="13"/>
      <c r="C24" s="13"/>
      <c r="D24" s="14"/>
      <c r="E24" s="15"/>
      <c r="F24" s="16" t="str">
        <f aca="false">IF(C24="","",IF(D24=1,45-DEGREES(ASIN(SIN(RADIANS(C24))/Conditions!$B$10)),45+DEGREES(ASIN(SIN(RADIANS(C24))/Conditions!$B$10))))</f>
        <v/>
      </c>
      <c r="G24" s="17" t="str">
        <f aca="false">IF(F24="","",Conditions!$B$10*SIN(RADIANS(F24)))</f>
        <v/>
      </c>
    </row>
    <row r="25" customFormat="false" ht="15" hidden="false" customHeight="true" outlineLevel="0" collapsed="false">
      <c r="A25" s="12" t="s">
        <v>30</v>
      </c>
      <c r="B25" s="13"/>
      <c r="C25" s="13"/>
      <c r="D25" s="14"/>
      <c r="E25" s="15"/>
      <c r="F25" s="16" t="str">
        <f aca="false">IF(C25="","",IF(D25=1,45-DEGREES(ASIN(SIN(RADIANS(C25))/Conditions!$B$10)),45+DEGREES(ASIN(SIN(RADIANS(C25))/Conditions!$B$10))))</f>
        <v/>
      </c>
      <c r="G25" s="17" t="str">
        <f aca="false">IF(F25="","",Conditions!$B$10*SIN(RADIANS(F25)))</f>
        <v/>
      </c>
    </row>
    <row r="26" customFormat="false" ht="15" hidden="false" customHeight="true" outlineLevel="0" collapsed="false">
      <c r="A26" s="12" t="s">
        <v>31</v>
      </c>
      <c r="B26" s="13"/>
      <c r="C26" s="13"/>
      <c r="D26" s="14"/>
      <c r="E26" s="15"/>
      <c r="F26" s="16" t="str">
        <f aca="false">IF(C26="","",IF(D26=1,45-DEGREES(ASIN(SIN(RADIANS(C26))/Conditions!$B$10)),45+DEGREES(ASIN(SIN(RADIANS(C26))/Conditions!$B$10))))</f>
        <v/>
      </c>
      <c r="G26" s="17" t="str">
        <f aca="false">IF(F26="","",Conditions!$B$10*SIN(RADIANS(F26)))</f>
        <v/>
      </c>
    </row>
    <row r="27" customFormat="false" ht="15" hidden="false" customHeight="true" outlineLevel="0" collapsed="false">
      <c r="A27" s="12" t="s">
        <v>32</v>
      </c>
      <c r="B27" s="13"/>
      <c r="C27" s="13"/>
      <c r="D27" s="14"/>
      <c r="E27" s="15"/>
      <c r="F27" s="16" t="str">
        <f aca="false">IF(C27="","",IF(D27=1,45-DEGREES(ASIN(SIN(RADIANS(C27))/Conditions!$B$10)),45+DEGREES(ASIN(SIN(RADIANS(C27))/Conditions!$B$10))))</f>
        <v/>
      </c>
      <c r="G27" s="17" t="str">
        <f aca="false">IF(F27="","",Conditions!$B$10*SIN(RADIANS(F27)))</f>
        <v/>
      </c>
    </row>
    <row r="28" customFormat="false" ht="15" hidden="false" customHeight="true" outlineLevel="0" collapsed="false">
      <c r="A28" s="12" t="s">
        <v>33</v>
      </c>
      <c r="B28" s="13"/>
      <c r="C28" s="13"/>
      <c r="D28" s="14"/>
      <c r="E28" s="15"/>
      <c r="F28" s="16" t="str">
        <f aca="false">IF(C28="","",IF(D28=1,45-DEGREES(ASIN(SIN(RADIANS(C28))/Conditions!$B$10)),45+DEGREES(ASIN(SIN(RADIANS(C28))/Conditions!$B$10))))</f>
        <v/>
      </c>
      <c r="G28" s="17" t="str">
        <f aca="false">IF(F28="","",Conditions!$B$10*SIN(RADIANS(F28)))</f>
        <v/>
      </c>
    </row>
    <row r="29" customFormat="false" ht="15" hidden="false" customHeight="true" outlineLevel="0" collapsed="false">
      <c r="A29" s="10" t="s">
        <v>34</v>
      </c>
      <c r="C29" s="18" t="str">
        <f aca="false">IFERROR(AVERAGE(C24:C28),"")</f>
        <v/>
      </c>
      <c r="E29" s="19" t="str">
        <f aca="false">IFERROR(AVERAGE(E24:E28),"")</f>
        <v/>
      </c>
      <c r="F29" s="18" t="str">
        <f aca="false">IFERROR(AVERAGE(F24:F28),"")</f>
        <v/>
      </c>
      <c r="G29" s="19" t="str">
        <f aca="false">IFERROR(AVERAGE(G24:G28),"")</f>
        <v/>
      </c>
    </row>
    <row r="30" customFormat="false" ht="15" hidden="false" customHeight="true" outlineLevel="0" collapsed="false">
      <c r="A30" s="12" t="s">
        <v>35</v>
      </c>
      <c r="F30" s="20" t="str">
        <f aca="false">IFERROR(STDEV(F24:F28),"")</f>
        <v/>
      </c>
      <c r="G30" s="21" t="str">
        <f aca="false">IFERROR(STDEV(G24:G28)/SQRT(COUNT(G24:G28)),"")</f>
        <v/>
      </c>
    </row>
    <row r="32" customFormat="false" ht="15" hidden="false" customHeight="true" outlineLevel="0" collapsed="false">
      <c r="A32" s="10" t="s">
        <v>38</v>
      </c>
      <c r="B32" s="11"/>
      <c r="C32" s="11"/>
      <c r="D32" s="11"/>
      <c r="E32" s="11"/>
      <c r="F32" s="11"/>
      <c r="G32" s="11"/>
    </row>
    <row r="33" customFormat="false" ht="15" hidden="false" customHeight="true" outlineLevel="0" collapsed="false">
      <c r="A33" s="12" t="s">
        <v>29</v>
      </c>
      <c r="B33" s="13"/>
      <c r="C33" s="13"/>
      <c r="D33" s="14"/>
      <c r="E33" s="15"/>
      <c r="F33" s="16" t="str">
        <f aca="false">IF(C33="","",IF(D33=1,45-DEGREES(ASIN(SIN(RADIANS(C33))/Conditions!$B$10)),45+DEGREES(ASIN(SIN(RADIANS(C33))/Conditions!$B$10))))</f>
        <v/>
      </c>
      <c r="G33" s="17" t="str">
        <f aca="false">IF(F33="","",Conditions!$B$10*SIN(RADIANS(F33)))</f>
        <v/>
      </c>
    </row>
    <row r="34" customFormat="false" ht="15" hidden="false" customHeight="true" outlineLevel="0" collapsed="false">
      <c r="A34" s="12" t="s">
        <v>30</v>
      </c>
      <c r="B34" s="13"/>
      <c r="C34" s="13"/>
      <c r="D34" s="14"/>
      <c r="E34" s="15"/>
      <c r="F34" s="16" t="str">
        <f aca="false">IF(C34="","",IF(D34=1,45-DEGREES(ASIN(SIN(RADIANS(C34))/Conditions!$B$10)),45+DEGREES(ASIN(SIN(RADIANS(C34))/Conditions!$B$10))))</f>
        <v/>
      </c>
      <c r="G34" s="17" t="str">
        <f aca="false">IF(F34="","",Conditions!$B$10*SIN(RADIANS(F34)))</f>
        <v/>
      </c>
    </row>
    <row r="35" customFormat="false" ht="15" hidden="false" customHeight="true" outlineLevel="0" collapsed="false">
      <c r="A35" s="12" t="s">
        <v>31</v>
      </c>
      <c r="B35" s="13"/>
      <c r="C35" s="13"/>
      <c r="D35" s="14"/>
      <c r="E35" s="15"/>
      <c r="F35" s="16" t="str">
        <f aca="false">IF(C35="","",IF(D35=1,45-DEGREES(ASIN(SIN(RADIANS(C35))/Conditions!$B$10)),45+DEGREES(ASIN(SIN(RADIANS(C35))/Conditions!$B$10))))</f>
        <v/>
      </c>
      <c r="G35" s="17" t="str">
        <f aca="false">IF(F35="","",Conditions!$B$10*SIN(RADIANS(F35)))</f>
        <v/>
      </c>
    </row>
    <row r="36" customFormat="false" ht="15" hidden="false" customHeight="true" outlineLevel="0" collapsed="false">
      <c r="A36" s="12" t="s">
        <v>32</v>
      </c>
      <c r="B36" s="13"/>
      <c r="C36" s="13"/>
      <c r="D36" s="14"/>
      <c r="E36" s="15"/>
      <c r="F36" s="16" t="str">
        <f aca="false">IF(C36="","",IF(D36=1,45-DEGREES(ASIN(SIN(RADIANS(C36))/Conditions!$B$10)),45+DEGREES(ASIN(SIN(RADIANS(C36))/Conditions!$B$10))))</f>
        <v/>
      </c>
      <c r="G36" s="17" t="str">
        <f aca="false">IF(F36="","",Conditions!$B$10*SIN(RADIANS(F36)))</f>
        <v/>
      </c>
    </row>
    <row r="37" customFormat="false" ht="15" hidden="false" customHeight="true" outlineLevel="0" collapsed="false">
      <c r="A37" s="12" t="s">
        <v>33</v>
      </c>
      <c r="B37" s="13"/>
      <c r="C37" s="13"/>
      <c r="D37" s="14"/>
      <c r="E37" s="15"/>
      <c r="F37" s="16" t="str">
        <f aca="false">IF(C37="","",IF(D37=1,45-DEGREES(ASIN(SIN(RADIANS(C37))/Conditions!$B$10)),45+DEGREES(ASIN(SIN(RADIANS(C37))/Conditions!$B$10))))</f>
        <v/>
      </c>
      <c r="G37" s="17" t="str">
        <f aca="false">IF(F37="","",Conditions!$B$10*SIN(RADIANS(F37)))</f>
        <v/>
      </c>
    </row>
    <row r="38" customFormat="false" ht="15" hidden="false" customHeight="true" outlineLevel="0" collapsed="false">
      <c r="A38" s="10" t="s">
        <v>34</v>
      </c>
      <c r="C38" s="18" t="str">
        <f aca="false">IFERROR(AVERAGE(C33:C37),"")</f>
        <v/>
      </c>
      <c r="E38" s="19" t="str">
        <f aca="false">IFERROR(AVERAGE(E33:E37),"")</f>
        <v/>
      </c>
      <c r="F38" s="18" t="str">
        <f aca="false">IFERROR(AVERAGE(F33:F37),"")</f>
        <v/>
      </c>
      <c r="G38" s="19" t="str">
        <f aca="false">IFERROR(AVERAGE(G33:G37),"")</f>
        <v/>
      </c>
    </row>
    <row r="39" customFormat="false" ht="15" hidden="false" customHeight="true" outlineLevel="0" collapsed="false">
      <c r="A39" s="12" t="s">
        <v>35</v>
      </c>
      <c r="F39" s="20" t="str">
        <f aca="false">IFERROR(STDEV(F33:F37),"")</f>
        <v/>
      </c>
      <c r="G39" s="21" t="str">
        <f aca="false">IFERROR(STDEV(G33:G37)/SQRT(COUNT(G33:G37)),"")</f>
        <v/>
      </c>
    </row>
    <row r="41" customFormat="false" ht="15" hidden="false" customHeight="true" outlineLevel="0" collapsed="false">
      <c r="A41" s="10" t="s">
        <v>39</v>
      </c>
      <c r="B41" s="11"/>
      <c r="C41" s="11"/>
      <c r="D41" s="11"/>
      <c r="E41" s="11"/>
      <c r="F41" s="11"/>
      <c r="G41" s="11"/>
    </row>
    <row r="42" customFormat="false" ht="15" hidden="false" customHeight="true" outlineLevel="0" collapsed="false">
      <c r="A42" s="12" t="s">
        <v>29</v>
      </c>
      <c r="B42" s="13"/>
      <c r="C42" s="13"/>
      <c r="D42" s="14"/>
      <c r="E42" s="15"/>
      <c r="F42" s="16" t="str">
        <f aca="false">IF(C42="","",IF(D42=1,45-DEGREES(ASIN(SIN(RADIANS(C42))/Conditions!$B$10)),45+DEGREES(ASIN(SIN(RADIANS(C42))/Conditions!$B$10))))</f>
        <v/>
      </c>
      <c r="G42" s="17" t="str">
        <f aca="false">IF(F42="","",Conditions!$B$10*SIN(RADIANS(F42)))</f>
        <v/>
      </c>
    </row>
    <row r="43" customFormat="false" ht="15" hidden="false" customHeight="true" outlineLevel="0" collapsed="false">
      <c r="A43" s="12" t="s">
        <v>30</v>
      </c>
      <c r="B43" s="13"/>
      <c r="C43" s="13"/>
      <c r="D43" s="14"/>
      <c r="E43" s="15"/>
      <c r="F43" s="16" t="str">
        <f aca="false">IF(C43="","",IF(D43=1,45-DEGREES(ASIN(SIN(RADIANS(C43))/Conditions!$B$10)),45+DEGREES(ASIN(SIN(RADIANS(C43))/Conditions!$B$10))))</f>
        <v/>
      </c>
      <c r="G43" s="17" t="str">
        <f aca="false">IF(F43="","",Conditions!$B$10*SIN(RADIANS(F43)))</f>
        <v/>
      </c>
    </row>
    <row r="44" customFormat="false" ht="15" hidden="false" customHeight="true" outlineLevel="0" collapsed="false">
      <c r="A44" s="12" t="s">
        <v>31</v>
      </c>
      <c r="B44" s="13"/>
      <c r="C44" s="13"/>
      <c r="D44" s="14"/>
      <c r="E44" s="15"/>
      <c r="F44" s="16" t="str">
        <f aca="false">IF(C44="","",IF(D44=1,45-DEGREES(ASIN(SIN(RADIANS(C44))/Conditions!$B$10)),45+DEGREES(ASIN(SIN(RADIANS(C44))/Conditions!$B$10))))</f>
        <v/>
      </c>
      <c r="G44" s="17" t="str">
        <f aca="false">IF(F44="","",Conditions!$B$10*SIN(RADIANS(F44)))</f>
        <v/>
      </c>
    </row>
    <row r="45" customFormat="false" ht="15" hidden="false" customHeight="true" outlineLevel="0" collapsed="false">
      <c r="A45" s="12" t="s">
        <v>32</v>
      </c>
      <c r="B45" s="13"/>
      <c r="C45" s="13"/>
      <c r="D45" s="14"/>
      <c r="E45" s="15"/>
      <c r="F45" s="16" t="str">
        <f aca="false">IF(C45="","",IF(D45=1,45-DEGREES(ASIN(SIN(RADIANS(C45))/Conditions!$B$10)),45+DEGREES(ASIN(SIN(RADIANS(C45))/Conditions!$B$10))))</f>
        <v/>
      </c>
      <c r="G45" s="17" t="str">
        <f aca="false">IF(F45="","",Conditions!$B$10*SIN(RADIANS(F45)))</f>
        <v/>
      </c>
    </row>
    <row r="46" customFormat="false" ht="15" hidden="false" customHeight="true" outlineLevel="0" collapsed="false">
      <c r="A46" s="12" t="s">
        <v>33</v>
      </c>
      <c r="B46" s="13"/>
      <c r="C46" s="13"/>
      <c r="D46" s="14"/>
      <c r="E46" s="15"/>
      <c r="F46" s="16" t="str">
        <f aca="false">IF(C46="","",IF(D46=1,45-DEGREES(ASIN(SIN(RADIANS(C46))/Conditions!$B$10)),45+DEGREES(ASIN(SIN(RADIANS(C46))/Conditions!$B$10))))</f>
        <v/>
      </c>
      <c r="G46" s="17" t="str">
        <f aca="false">IF(F46="","",Conditions!$B$10*SIN(RADIANS(F46)))</f>
        <v/>
      </c>
    </row>
    <row r="47" customFormat="false" ht="15" hidden="false" customHeight="true" outlineLevel="0" collapsed="false">
      <c r="A47" s="10" t="s">
        <v>34</v>
      </c>
      <c r="C47" s="18" t="str">
        <f aca="false">IFERROR(AVERAGE(C42:C46),"")</f>
        <v/>
      </c>
      <c r="E47" s="19" t="str">
        <f aca="false">IFERROR(AVERAGE(E42:E46),"")</f>
        <v/>
      </c>
      <c r="F47" s="18" t="str">
        <f aca="false">IFERROR(AVERAGE(F42:F46),"")</f>
        <v/>
      </c>
      <c r="G47" s="19" t="str">
        <f aca="false">IFERROR(AVERAGE(G42:G46),"")</f>
        <v/>
      </c>
    </row>
    <row r="48" customFormat="false" ht="15" hidden="false" customHeight="true" outlineLevel="0" collapsed="false">
      <c r="A48" s="12" t="s">
        <v>35</v>
      </c>
      <c r="F48" s="20" t="str">
        <f aca="false">IFERROR(STDEV(F42:F46),"")</f>
        <v/>
      </c>
      <c r="G48" s="21" t="str">
        <f aca="false">IFERROR(STDEV(G42:G46)/SQRT(COUNT(G42:G46)),"")</f>
        <v/>
      </c>
    </row>
    <row r="50" customFormat="false" ht="15" hidden="false" customHeight="true" outlineLevel="0" collapsed="false">
      <c r="A50" s="8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22"/>
    <col collapsed="false" customWidth="true" hidden="false" outlineLevel="0" max="5" min="5" style="1" width="14"/>
  </cols>
  <sheetData>
    <row r="1" customFormat="false" ht="17.25" hidden="false" customHeight="true" outlineLevel="0" collapsed="false">
      <c r="A1" s="7" t="s">
        <v>41</v>
      </c>
    </row>
    <row r="2" customFormat="false" ht="15" hidden="false" customHeight="true" outlineLevel="0" collapsed="false">
      <c r="A2" s="8" t="s">
        <v>42</v>
      </c>
    </row>
    <row r="4" customFormat="false" ht="30" hidden="false" customHeight="true" outlineLevel="0" collapsed="false">
      <c r="A4" s="9" t="s">
        <v>43</v>
      </c>
      <c r="B4" s="9" t="s">
        <v>44</v>
      </c>
      <c r="C4" s="9" t="s">
        <v>45</v>
      </c>
      <c r="D4" s="9" t="s">
        <v>46</v>
      </c>
      <c r="E4" s="9" t="s">
        <v>47</v>
      </c>
    </row>
    <row r="5" customFormat="false" ht="15" hidden="false" customHeight="true" outlineLevel="0" collapsed="false">
      <c r="A5" s="22" t="s">
        <v>28</v>
      </c>
      <c r="B5" s="23" t="str">
        <f aca="false">IFERROR('T1 raw readings'!F11&amp;" ± "&amp;TEXT('T1 raw readings'!G12,"0.0000"),"")</f>
        <v> ± </v>
      </c>
      <c r="C5" s="24" t="str">
        <f aca="false">IFERROR('T1 raw readings'!E11,"")</f>
        <v/>
      </c>
      <c r="D5" s="25" t="n">
        <v>1.333</v>
      </c>
      <c r="E5" s="26" t="str">
        <f aca="false">IFERROR(ABS(C5-D5)/D5*100,"")</f>
        <v/>
      </c>
    </row>
    <row r="6" customFormat="false" ht="15" hidden="false" customHeight="true" outlineLevel="0" collapsed="false">
      <c r="A6" s="22" t="s">
        <v>36</v>
      </c>
      <c r="B6" s="23" t="str">
        <f aca="false">IFERROR('T1 raw readings'!F20&amp;" ± "&amp;TEXT('T1 raw readings'!G21,"0.0000"),"")</f>
        <v> ± </v>
      </c>
      <c r="C6" s="24" t="str">
        <f aca="false">IFERROR('T1 raw readings'!E20,"")</f>
        <v/>
      </c>
      <c r="D6" s="25" t="n">
        <v>1.3477</v>
      </c>
      <c r="E6" s="26" t="str">
        <f aca="false">IFERROR(ABS(C6-D6)/D6*100,"")</f>
        <v/>
      </c>
    </row>
    <row r="7" customFormat="false" ht="15" hidden="false" customHeight="true" outlineLevel="0" collapsed="false">
      <c r="A7" s="22" t="s">
        <v>37</v>
      </c>
      <c r="B7" s="23" t="str">
        <f aca="false">IFERROR('T1 raw readings'!F29&amp;" ± "&amp;TEXT('T1 raw readings'!G30,"0.0000"),"")</f>
        <v> ± </v>
      </c>
      <c r="C7" s="24" t="str">
        <f aca="false">IFERROR('T1 raw readings'!E29,"")</f>
        <v/>
      </c>
      <c r="D7" s="25" t="n">
        <v>1.3505</v>
      </c>
      <c r="E7" s="26" t="str">
        <f aca="false">IFERROR(ABS(C7-D7)/D7*100,"")</f>
        <v/>
      </c>
    </row>
    <row r="8" customFormat="false" ht="15" hidden="false" customHeight="true" outlineLevel="0" collapsed="false">
      <c r="A8" s="22" t="s">
        <v>38</v>
      </c>
      <c r="B8" s="23" t="str">
        <f aca="false">IFERROR('T1 raw readings'!F38&amp;" ± "&amp;TEXT('T1 raw readings'!G39,"0.0000"),"")</f>
        <v> ± </v>
      </c>
      <c r="C8" s="24" t="str">
        <f aca="false">IFERROR('T1 raw readings'!E38,"")</f>
        <v/>
      </c>
      <c r="D8" s="25" t="n">
        <v>1.36</v>
      </c>
      <c r="E8" s="26" t="str">
        <f aca="false">IFERROR(ABS(C8-D8)/D8*100,"")</f>
        <v/>
      </c>
    </row>
    <row r="9" customFormat="false" ht="15" hidden="false" customHeight="true" outlineLevel="0" collapsed="false">
      <c r="A9" s="22" t="s">
        <v>39</v>
      </c>
      <c r="B9" s="23" t="str">
        <f aca="false">IFERROR('T1 raw readings'!F47&amp;" ± "&amp;TEXT('T1 raw readings'!G48,"0.0000"),"")</f>
        <v> ± </v>
      </c>
      <c r="C9" s="24" t="str">
        <f aca="false">IFERROR('T1 raw readings'!E47,"")</f>
        <v/>
      </c>
      <c r="D9" s="25" t="n">
        <v>1.47</v>
      </c>
      <c r="E9" s="26" t="str">
        <f aca="false">IFERROR(ABS(C9-D9)/D9*100,"")</f>
        <v/>
      </c>
    </row>
    <row r="10" customFormat="false" ht="15" hidden="false" customHeight="true" outlineLevel="0" collapsed="false">
      <c r="A10" s="10" t="s">
        <v>48</v>
      </c>
      <c r="B10" s="11"/>
      <c r="C10" s="11"/>
      <c r="D10" s="11"/>
      <c r="E10" s="27" t="str">
        <f aca="false">IFERROR(AVERAGE(E5:E9),"")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8" min="3" style="1" width="12"/>
    <col collapsed="false" customWidth="true" hidden="false" outlineLevel="0" max="9" min="9" style="1" width="11"/>
    <col collapsed="false" customWidth="true" hidden="false" outlineLevel="0" max="10" min="10" style="1" width="12"/>
  </cols>
  <sheetData>
    <row r="1" customFormat="false" ht="17.25" hidden="false" customHeight="true" outlineLevel="0" collapsed="false">
      <c r="A1" s="7" t="s">
        <v>49</v>
      </c>
    </row>
    <row r="2" customFormat="false" ht="15" hidden="false" customHeight="true" outlineLevel="0" collapsed="false">
      <c r="A2" s="8" t="s">
        <v>50</v>
      </c>
    </row>
    <row r="4" customFormat="false" ht="30" hidden="false" customHeight="true" outlineLevel="0" collapsed="false">
      <c r="A4" s="9" t="s">
        <v>51</v>
      </c>
      <c r="B4" s="9" t="s">
        <v>52</v>
      </c>
      <c r="C4" s="9" t="s">
        <v>53</v>
      </c>
      <c r="D4" s="9" t="s">
        <v>54</v>
      </c>
      <c r="E4" s="9" t="s">
        <v>55</v>
      </c>
      <c r="F4" s="9" t="s">
        <v>56</v>
      </c>
      <c r="G4" s="9" t="s">
        <v>57</v>
      </c>
      <c r="H4" s="9" t="s">
        <v>58</v>
      </c>
      <c r="I4" s="9" t="s">
        <v>59</v>
      </c>
      <c r="J4" s="9" t="s">
        <v>60</v>
      </c>
    </row>
    <row r="5" customFormat="false" ht="15" hidden="false" customHeight="true" outlineLevel="0" collapsed="false">
      <c r="A5" s="10" t="s">
        <v>61</v>
      </c>
      <c r="B5" s="28"/>
      <c r="C5" s="15"/>
      <c r="D5" s="15"/>
      <c r="E5" s="15"/>
      <c r="F5" s="15"/>
      <c r="G5" s="15"/>
      <c r="H5" s="17" t="str">
        <f aca="false">IFERROR(AVERAGE(C5:G5),"")</f>
        <v/>
      </c>
      <c r="I5" s="17" t="str">
        <f aca="false">IFERROR(STDEV(C5:G5)/SQRT(COUNT(C5:G5)),"")</f>
        <v/>
      </c>
      <c r="J5" s="12" t="s">
        <v>62</v>
      </c>
    </row>
    <row r="6" customFormat="false" ht="15" hidden="false" customHeight="true" outlineLevel="0" collapsed="false">
      <c r="A6" s="10" t="s">
        <v>63</v>
      </c>
      <c r="B6" s="28"/>
      <c r="C6" s="15"/>
      <c r="D6" s="15"/>
      <c r="E6" s="15"/>
      <c r="F6" s="15"/>
      <c r="G6" s="15"/>
      <c r="H6" s="17" t="str">
        <f aca="false">IFERROR(AVERAGE(C6:G6),"")</f>
        <v/>
      </c>
      <c r="I6" s="17" t="str">
        <f aca="false">IFERROR(STDEV(C6:G6)/SQRT(COUNT(C6:G6)),"")</f>
        <v/>
      </c>
      <c r="J6" s="12" t="s">
        <v>62</v>
      </c>
    </row>
    <row r="7" customFormat="false" ht="15" hidden="false" customHeight="true" outlineLevel="0" collapsed="false">
      <c r="A7" s="10" t="s">
        <v>64</v>
      </c>
      <c r="B7" s="28"/>
      <c r="C7" s="15"/>
      <c r="D7" s="15"/>
      <c r="E7" s="15"/>
      <c r="F7" s="15"/>
      <c r="G7" s="15"/>
      <c r="H7" s="17" t="str">
        <f aca="false">IFERROR(AVERAGE(C7:G7),"")</f>
        <v/>
      </c>
      <c r="I7" s="17" t="str">
        <f aca="false">IFERROR(STDEV(C7:G7)/SQRT(COUNT(C7:G7)),"")</f>
        <v/>
      </c>
      <c r="J7" s="12" t="s">
        <v>62</v>
      </c>
    </row>
    <row r="8" customFormat="false" ht="15" hidden="false" customHeight="true" outlineLevel="0" collapsed="false">
      <c r="A8" s="10" t="s">
        <v>65</v>
      </c>
      <c r="B8" s="28"/>
      <c r="C8" s="15"/>
      <c r="D8" s="15"/>
      <c r="E8" s="15"/>
      <c r="F8" s="15"/>
      <c r="G8" s="15"/>
      <c r="H8" s="17" t="str">
        <f aca="false">IFERROR(AVERAGE(C8:G8),"")</f>
        <v/>
      </c>
      <c r="I8" s="17" t="str">
        <f aca="false">IFERROR(STDEV(C8:G8)/SQRT(COUNT(C8:G8)),"")</f>
        <v/>
      </c>
      <c r="J8" s="12" t="s">
        <v>62</v>
      </c>
    </row>
    <row r="9" customFormat="false" ht="15" hidden="false" customHeight="true" outlineLevel="0" collapsed="false">
      <c r="A9" s="10" t="s">
        <v>66</v>
      </c>
      <c r="B9" s="28"/>
      <c r="C9" s="15"/>
      <c r="D9" s="15"/>
      <c r="E9" s="15"/>
      <c r="F9" s="15"/>
      <c r="G9" s="15"/>
      <c r="H9" s="17" t="str">
        <f aca="false">IFERROR(AVERAGE(C9:G9),"")</f>
        <v/>
      </c>
      <c r="I9" s="17" t="str">
        <f aca="false">IFERROR(STDEV(C9:G9)/SQRT(COUNT(C9:G9)),"")</f>
        <v/>
      </c>
      <c r="J9" s="12" t="s">
        <v>67</v>
      </c>
    </row>
    <row r="11" customFormat="false" ht="15" hidden="false" customHeight="true" outlineLevel="0" collapsed="false">
      <c r="A11" s="29" t="s">
        <v>68</v>
      </c>
    </row>
    <row r="12" customFormat="false" ht="15" hidden="false" customHeight="true" outlineLevel="0" collapsed="false">
      <c r="A12" s="12" t="s">
        <v>69</v>
      </c>
      <c r="B12" s="30" t="str">
        <f aca="false">IFERROR(SLOPE(H5:H8,B5:B8),"")</f>
        <v/>
      </c>
    </row>
    <row r="13" customFormat="false" ht="15" hidden="false" customHeight="true" outlineLevel="0" collapsed="false">
      <c r="A13" s="12" t="s">
        <v>70</v>
      </c>
      <c r="B13" s="19" t="str">
        <f aca="false">IFERROR(INTERCEPT(H5:H8,B5:B8),"")</f>
        <v/>
      </c>
    </row>
    <row r="14" customFormat="false" ht="15" hidden="false" customHeight="true" outlineLevel="0" collapsed="false">
      <c r="A14" s="12" t="s">
        <v>71</v>
      </c>
      <c r="B14" s="18" t="str">
        <f aca="false">IFERROR(RSQ(H5:H8,B5:B8),"")</f>
        <v/>
      </c>
    </row>
    <row r="16" customFormat="false" ht="15" hidden="false" customHeight="true" outlineLevel="0" collapsed="false">
      <c r="A16" s="29" t="s">
        <v>72</v>
      </c>
    </row>
    <row r="17" customFormat="false" ht="15" hidden="false" customHeight="true" outlineLevel="0" collapsed="false">
      <c r="A17" s="12" t="s">
        <v>73</v>
      </c>
      <c r="B17" s="31" t="str">
        <f aca="false">IF(B9="","",B9)</f>
        <v/>
      </c>
    </row>
    <row r="18" customFormat="false" ht="15" hidden="false" customHeight="true" outlineLevel="0" collapsed="false">
      <c r="A18" s="12" t="s">
        <v>74</v>
      </c>
      <c r="B18" s="31" t="str">
        <f aca="false">IFERROR((H9-B13)/B12,"")</f>
        <v/>
      </c>
    </row>
    <row r="19" customFormat="false" ht="15" hidden="false" customHeight="true" outlineLevel="0" collapsed="false">
      <c r="A19" s="10" t="s">
        <v>75</v>
      </c>
      <c r="B19" s="32" t="str">
        <f aca="false">IFERROR(B18-B17,"")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1"/>
    <col collapsed="false" customWidth="true" hidden="false" outlineLevel="0" max="4" min="3" style="1" width="15"/>
    <col collapsed="false" customWidth="true" hidden="false" outlineLevel="0" max="5" min="5" style="1" width="30"/>
  </cols>
  <sheetData>
    <row r="1" customFormat="false" ht="17.25" hidden="false" customHeight="true" outlineLevel="0" collapsed="false">
      <c r="A1" s="7" t="s">
        <v>76</v>
      </c>
    </row>
    <row r="2" customFormat="false" ht="15" hidden="false" customHeight="true" outlineLevel="0" collapsed="false">
      <c r="A2" s="8" t="s">
        <v>77</v>
      </c>
    </row>
    <row r="4" customFormat="false" ht="30" hidden="false" customHeight="true" outlineLevel="0" collapsed="false">
      <c r="A4" s="9" t="s">
        <v>78</v>
      </c>
      <c r="B4" s="9" t="s">
        <v>79</v>
      </c>
      <c r="C4" s="9" t="s">
        <v>80</v>
      </c>
      <c r="D4" s="9" t="s">
        <v>81</v>
      </c>
      <c r="E4" s="9" t="s">
        <v>82</v>
      </c>
    </row>
    <row r="5" customFormat="false" ht="15" hidden="false" customHeight="true" outlineLevel="0" collapsed="false">
      <c r="A5" s="12" t="s">
        <v>83</v>
      </c>
      <c r="B5" s="14"/>
      <c r="C5" s="33"/>
      <c r="D5" s="34" t="str">
        <f aca="false">IF(OR(B5="",C5=""),"",B5*C5)</f>
        <v/>
      </c>
      <c r="E5" s="35"/>
    </row>
    <row r="6" customFormat="false" ht="15" hidden="false" customHeight="true" outlineLevel="0" collapsed="false">
      <c r="A6" s="12" t="s">
        <v>84</v>
      </c>
      <c r="B6" s="14"/>
      <c r="C6" s="33"/>
      <c r="D6" s="34" t="str">
        <f aca="false">IF(OR(B6="",C6=""),"",B6*C6)</f>
        <v/>
      </c>
      <c r="E6" s="35"/>
    </row>
    <row r="7" customFormat="false" ht="15" hidden="false" customHeight="true" outlineLevel="0" collapsed="false">
      <c r="A7" s="12" t="s">
        <v>85</v>
      </c>
      <c r="B7" s="14"/>
      <c r="C7" s="33"/>
      <c r="D7" s="34" t="str">
        <f aca="false">IF(OR(B7="",C7=""),"",B7*C7)</f>
        <v/>
      </c>
      <c r="E7" s="35"/>
    </row>
    <row r="8" customFormat="false" ht="15" hidden="false" customHeight="true" outlineLevel="0" collapsed="false">
      <c r="A8" s="12" t="s">
        <v>86</v>
      </c>
      <c r="B8" s="14"/>
      <c r="C8" s="33"/>
      <c r="D8" s="34" t="str">
        <f aca="false">IF(OR(B8="",C8=""),"",B8*C8)</f>
        <v/>
      </c>
      <c r="E8" s="35"/>
    </row>
    <row r="9" customFormat="false" ht="15" hidden="false" customHeight="true" outlineLevel="0" collapsed="false">
      <c r="A9" s="12" t="s">
        <v>87</v>
      </c>
      <c r="B9" s="14"/>
      <c r="C9" s="33"/>
      <c r="D9" s="34" t="str">
        <f aca="false">IF(OR(B9="",C9=""),"",B9*C9)</f>
        <v/>
      </c>
      <c r="E9" s="35"/>
    </row>
    <row r="10" customFormat="false" ht="15" hidden="false" customHeight="true" outlineLevel="0" collapsed="false">
      <c r="A10" s="12" t="s">
        <v>88</v>
      </c>
      <c r="B10" s="14"/>
      <c r="C10" s="33"/>
      <c r="D10" s="34" t="str">
        <f aca="false">IF(OR(B10="",C10=""),"",B10*C10)</f>
        <v/>
      </c>
      <c r="E10" s="35"/>
    </row>
    <row r="11" customFormat="false" ht="15" hidden="false" customHeight="true" outlineLevel="0" collapsed="false">
      <c r="A11" s="12" t="s">
        <v>89</v>
      </c>
      <c r="B11" s="14"/>
      <c r="C11" s="33"/>
      <c r="D11" s="34" t="str">
        <f aca="false">IF(OR(B11="",C11=""),"",B11*C11)</f>
        <v/>
      </c>
      <c r="E11" s="35"/>
    </row>
    <row r="12" customFormat="false" ht="15" hidden="false" customHeight="true" outlineLevel="0" collapsed="false">
      <c r="A12" s="12" t="s">
        <v>90</v>
      </c>
      <c r="B12" s="14"/>
      <c r="C12" s="33"/>
      <c r="D12" s="34" t="str">
        <f aca="false">IF(OR(B12="",C12=""),"",B12*C12)</f>
        <v/>
      </c>
      <c r="E12" s="35"/>
    </row>
    <row r="13" customFormat="false" ht="15" hidden="false" customHeight="true" outlineLevel="0" collapsed="false">
      <c r="A13" s="12" t="s">
        <v>91</v>
      </c>
      <c r="B13" s="14"/>
      <c r="C13" s="33"/>
      <c r="D13" s="34" t="str">
        <f aca="false">IF(OR(B13="",C13=""),"",B13*C13)</f>
        <v/>
      </c>
      <c r="E13" s="35"/>
    </row>
    <row r="14" customFormat="false" ht="15" hidden="false" customHeight="true" outlineLevel="0" collapsed="false">
      <c r="A14" s="12" t="s">
        <v>92</v>
      </c>
      <c r="B14" s="14"/>
      <c r="C14" s="33"/>
      <c r="D14" s="34" t="str">
        <f aca="false">IF(OR(B14="",C14=""),"",B14*C14)</f>
        <v/>
      </c>
      <c r="E14" s="35"/>
    </row>
    <row r="15" customFormat="false" ht="15" hidden="false" customHeight="true" outlineLevel="0" collapsed="false">
      <c r="A15" s="10" t="s">
        <v>93</v>
      </c>
      <c r="B15" s="11"/>
      <c r="C15" s="11"/>
      <c r="D15" s="27" t="n">
        <f aca="false">IFERROR(SUM(D5:D14),"")</f>
        <v>0</v>
      </c>
      <c r="E15" s="11"/>
    </row>
    <row r="16" customFormat="false" ht="15" hidden="false" customHeight="true" outlineLevel="0" collapsed="false">
      <c r="A16" s="12" t="s">
        <v>94</v>
      </c>
      <c r="B16" s="11"/>
      <c r="C16" s="36"/>
      <c r="D16" s="11"/>
      <c r="E16" s="11"/>
    </row>
    <row r="17" customFormat="false" ht="15" hidden="false" customHeight="true" outlineLevel="0" collapsed="false">
      <c r="A17" s="10" t="s">
        <v>95</v>
      </c>
      <c r="B17" s="11"/>
      <c r="C17" s="11"/>
      <c r="D17" s="27" t="str">
        <f aca="false">IFERROR(D15-D5+C16,"")</f>
        <v/>
      </c>
      <c r="E17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46"/>
  </cols>
  <sheetData>
    <row r="1" customFormat="false" ht="17.25" hidden="false" customHeight="true" outlineLevel="0" collapsed="false">
      <c r="A1" s="7" t="s">
        <v>96</v>
      </c>
    </row>
    <row r="3" customFormat="false" ht="15" hidden="false" customHeight="true" outlineLevel="0" collapsed="false">
      <c r="A3" s="37" t="s">
        <v>79</v>
      </c>
      <c r="B3" s="37" t="s">
        <v>97</v>
      </c>
      <c r="C3" s="37" t="s">
        <v>98</v>
      </c>
    </row>
    <row r="4" customFormat="false" ht="15" hidden="false" customHeight="true" outlineLevel="0" collapsed="false">
      <c r="A4" s="12" t="s">
        <v>99</v>
      </c>
      <c r="B4" s="38" t="n">
        <v>5</v>
      </c>
      <c r="C4" s="39" t="s">
        <v>100</v>
      </c>
    </row>
    <row r="5" customFormat="false" ht="15" hidden="false" customHeight="true" outlineLevel="0" collapsed="false">
      <c r="A5" s="12" t="s">
        <v>101</v>
      </c>
      <c r="B5" s="40"/>
      <c r="C5" s="39" t="s">
        <v>102</v>
      </c>
    </row>
    <row r="6" customFormat="false" ht="15" hidden="false" customHeight="true" outlineLevel="0" collapsed="false">
      <c r="A6" s="12" t="s">
        <v>103</v>
      </c>
      <c r="B6" s="40"/>
      <c r="C6" s="39" t="s">
        <v>104</v>
      </c>
    </row>
    <row r="7" customFormat="false" ht="15" hidden="false" customHeight="true" outlineLevel="0" collapsed="false">
      <c r="A7" s="12" t="s">
        <v>105</v>
      </c>
      <c r="B7" s="40"/>
      <c r="C7" s="39"/>
    </row>
    <row r="8" customFormat="false" ht="15" hidden="false" customHeight="true" outlineLevel="0" collapsed="false">
      <c r="A8" s="12" t="s">
        <v>106</v>
      </c>
      <c r="B8" s="40"/>
      <c r="C8" s="39"/>
    </row>
    <row r="9" customFormat="false" ht="15" hidden="false" customHeight="true" outlineLevel="0" collapsed="false">
      <c r="A9" s="12" t="s">
        <v>107</v>
      </c>
      <c r="B9" s="40"/>
      <c r="C9" s="39" t="s">
        <v>108</v>
      </c>
    </row>
    <row r="10" customFormat="false" ht="15" hidden="false" customHeight="true" outlineLevel="0" collapsed="false">
      <c r="A10" s="12" t="s">
        <v>109</v>
      </c>
      <c r="B10" s="27" t="n">
        <v>1.5</v>
      </c>
      <c r="C10" s="39" t="s">
        <v>110</v>
      </c>
    </row>
    <row r="11" customFormat="false" ht="15" hidden="false" customHeight="true" outlineLevel="0" collapsed="false">
      <c r="A11" s="12" t="s">
        <v>111</v>
      </c>
      <c r="B11" s="38" t="n">
        <v>4076</v>
      </c>
      <c r="C11" s="39" t="s">
        <v>112</v>
      </c>
    </row>
    <row r="12" customFormat="false" ht="15" hidden="false" customHeight="true" outlineLevel="0" collapsed="false">
      <c r="A12" s="12" t="s">
        <v>113</v>
      </c>
      <c r="B12" s="19" t="n">
        <f aca="false">IFERROR(360/B11,"")</f>
        <v>0.0883218842001963</v>
      </c>
      <c r="C12" s="39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64"/>
  </cols>
  <sheetData>
    <row r="1" customFormat="false" ht="17.25" hidden="false" customHeight="true" outlineLevel="0" collapsed="false">
      <c r="A1" s="7" t="s">
        <v>115</v>
      </c>
    </row>
    <row r="3" customFormat="false" ht="30" hidden="false" customHeight="true" outlineLevel="0" collapsed="false">
      <c r="A3" s="9" t="s">
        <v>79</v>
      </c>
      <c r="B3" s="9" t="s">
        <v>116</v>
      </c>
      <c r="C3" s="9" t="s">
        <v>117</v>
      </c>
    </row>
    <row r="4" customFormat="false" ht="15" hidden="false" customHeight="true" outlineLevel="0" collapsed="false">
      <c r="A4" s="41" t="s">
        <v>118</v>
      </c>
      <c r="B4" s="42" t="s">
        <v>119</v>
      </c>
      <c r="C4" s="43" t="s">
        <v>120</v>
      </c>
    </row>
    <row r="5" customFormat="false" ht="15" hidden="false" customHeight="true" outlineLevel="0" collapsed="false">
      <c r="A5" s="41" t="s">
        <v>121</v>
      </c>
      <c r="B5" s="42" t="s">
        <v>122</v>
      </c>
      <c r="C5" s="43" t="s">
        <v>123</v>
      </c>
    </row>
    <row r="6" customFormat="false" ht="15" hidden="false" customHeight="true" outlineLevel="0" collapsed="false">
      <c r="A6" s="41" t="s">
        <v>124</v>
      </c>
      <c r="B6" s="42" t="s">
        <v>125</v>
      </c>
      <c r="C6" s="43" t="s">
        <v>126</v>
      </c>
    </row>
    <row r="7" customFormat="false" ht="15" hidden="false" customHeight="true" outlineLevel="0" collapsed="false">
      <c r="A7" s="41" t="s">
        <v>127</v>
      </c>
      <c r="B7" s="42" t="s">
        <v>128</v>
      </c>
      <c r="C7" s="43" t="s">
        <v>129</v>
      </c>
    </row>
    <row r="8" customFormat="false" ht="15" hidden="false" customHeight="true" outlineLevel="0" collapsed="false">
      <c r="A8" s="41" t="s">
        <v>130</v>
      </c>
      <c r="B8" s="42" t="s">
        <v>131</v>
      </c>
      <c r="C8" s="43" t="s">
        <v>132</v>
      </c>
    </row>
    <row r="9" customFormat="false" ht="15" hidden="false" customHeight="true" outlineLevel="0" collapsed="false">
      <c r="A9" s="41" t="s">
        <v>133</v>
      </c>
      <c r="B9" s="42" t="s">
        <v>134</v>
      </c>
      <c r="C9" s="43" t="s">
        <v>135</v>
      </c>
    </row>
    <row r="10" customFormat="false" ht="15" hidden="false" customHeight="true" outlineLevel="0" collapsed="false">
      <c r="A10" s="41" t="s">
        <v>136</v>
      </c>
      <c r="B10" s="42" t="s">
        <v>137</v>
      </c>
      <c r="C10" s="43" t="s">
        <v>138</v>
      </c>
    </row>
    <row r="11" customFormat="false" ht="15" hidden="false" customHeight="true" outlineLevel="0" collapsed="false">
      <c r="A11" s="41" t="s">
        <v>139</v>
      </c>
      <c r="B11" s="42" t="s">
        <v>140</v>
      </c>
      <c r="C11" s="43" t="s">
        <v>141</v>
      </c>
    </row>
    <row r="12" customFormat="false" ht="15" hidden="false" customHeight="true" outlineLevel="0" collapsed="false">
      <c r="A12" s="41" t="s">
        <v>142</v>
      </c>
      <c r="B12" s="42" t="s">
        <v>143</v>
      </c>
      <c r="C12" s="43" t="s">
        <v>144</v>
      </c>
    </row>
    <row r="13" customFormat="false" ht="15" hidden="false" customHeight="true" outlineLevel="0" collapsed="false">
      <c r="A13" s="41" t="s">
        <v>145</v>
      </c>
      <c r="B13" s="42" t="s">
        <v>146</v>
      </c>
      <c r="C13" s="43" t="s">
        <v>147</v>
      </c>
    </row>
    <row r="14" customFormat="false" ht="23.25" hidden="false" customHeight="true" outlineLevel="0" collapsed="false">
      <c r="A14" s="41" t="s">
        <v>148</v>
      </c>
      <c r="B14" s="42" t="s">
        <v>149</v>
      </c>
      <c r="C14" s="43" t="s">
        <v>150</v>
      </c>
    </row>
    <row r="15" customFormat="false" ht="15" hidden="false" customHeight="true" outlineLevel="0" collapsed="false">
      <c r="A15" s="41" t="s">
        <v>151</v>
      </c>
      <c r="B15" s="42" t="s">
        <v>152</v>
      </c>
      <c r="C15" s="43" t="s">
        <v>153</v>
      </c>
    </row>
    <row r="17" customFormat="false" ht="15" hidden="false" customHeight="true" outlineLevel="0" collapsed="false">
      <c r="A17" s="29" t="s">
        <v>154</v>
      </c>
    </row>
    <row r="18" customFormat="false" ht="15" hidden="false" customHeight="true" outlineLevel="0" collapsed="false">
      <c r="A18" s="44" t="s">
        <v>155</v>
      </c>
      <c r="B18" s="44"/>
      <c r="C18" s="44"/>
    </row>
    <row r="19" customFormat="false" ht="15" hidden="false" customHeight="true" outlineLevel="0" collapsed="false">
      <c r="A19" s="44" t="s">
        <v>156</v>
      </c>
      <c r="B19" s="44"/>
      <c r="C19" s="44"/>
    </row>
    <row r="20" customFormat="false" ht="15" hidden="false" customHeight="true" outlineLevel="0" collapsed="false">
      <c r="A20" s="44" t="s">
        <v>157</v>
      </c>
      <c r="B20" s="44"/>
      <c r="C20" s="44"/>
    </row>
    <row r="21" customFormat="false" ht="15" hidden="false" customHeight="true" outlineLevel="0" collapsed="false">
      <c r="A21" s="44" t="s">
        <v>158</v>
      </c>
      <c r="B21" s="44"/>
      <c r="C21" s="44"/>
    </row>
  </sheetData>
  <mergeCells count="4">
    <mergeCell ref="A18:C18"/>
    <mergeCell ref="A19:C19"/>
    <mergeCell ref="A20:C20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2026-08-18T00:16:55Z</dcterms:created>
  <dc:creator>openpyxl</dc:creator>
  <dc:description/>
  <dc:language>en-US</dc:language>
  <cp:lastModifiedBy/>
  <dcterms:modified xsi:type="dcterms:W3CDTF">2026-08-18T00:19:29Z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